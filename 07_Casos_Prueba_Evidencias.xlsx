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vPR55CzJSPWiDOm35lTV0Hkf2Y+4V0f5x1/zp4yAlH4="/>
    </ext>
  </extLst>
</workbook>
</file>

<file path=xl/sharedStrings.xml><?xml version="1.0" encoding="utf-8"?>
<sst xmlns="http://schemas.openxmlformats.org/spreadsheetml/2006/main" count="162" uniqueCount="135">
  <si>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</si>
  <si>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</si>
  <si>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</si>
  <si>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</si>
  <si>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</si>
  <si>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</si>
  <si>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</si>
  <si>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</si>
  <si>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</si>
  <si>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</si>
  <si>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</si>
  <si>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</si>
  <si>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</si>
  <si>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</si>
  <si>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</si>
  <si>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</si>
  <si>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</si>
  <si>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</si>
  <si>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</si>
  <si>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</si>
  <si>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</si>
  <si>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</si>
  <si>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</si>
  <si>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</si>
  <si>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</si>
  <si>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</si>
  <si>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Prototipo</t>
  </si>
  <si>
    <t>Severidad
(0-4)</t>
  </si>
  <si>
    <t>Recomendacion de mejora</t>
  </si>
  <si>
    <t>Evaluador</t>
  </si>
  <si>
    <t>H1 - Visibilidad del estado</t>
  </si>
  <si>
    <t>El Administrador no recibe confirmación visual después de actualizar el porcentaje de interés por mora en la Configuración.</t>
  </si>
  <si>
    <t>/app/admin/configuracion</t>
  </si>
  <si>
    <t>Mostrar un mensaje temporal (toast) en color verde mint confirmando que se guardaron los cambios.</t>
  </si>
  <si>
    <t>Martina Cordova</t>
  </si>
  <si>
    <t>H5 - Prevencion de errores</t>
  </si>
  <si>
    <t>El filtro avanzado de la pestaña "Pagos" permite al usuario ingresar de forma accidental valores numéricos negativos en los campos de montos.</t>
  </si>
  <si>
    <t>/app/admin/informes</t>
  </si>
  <si>
    <t>Agregar una regla de validación en los campos de entrada que bloquee e impida la escritura de números menores a cero.</t>
  </si>
  <si>
    <t>H4 - Consistencia y estandares</t>
  </si>
  <si>
    <t>En la vista de "Directorio de Unidades", ciertos textos secundarios cambiaron a tipografía con serifas (Times New Roman), rompiendo con la fuente global Inter del sistema.</t>
  </si>
  <si>
    <t>/app/admin/units</t>
  </si>
  <si>
    <t>Aplicar la clase utilitaria de fuente global (font-sans) a todas las etiquetas del archivo para mantener la consistencia visual.</t>
  </si>
  <si>
    <t>H7 - Flexibilidad y eficiencia</t>
  </si>
  <si>
    <t>Al ingresar a la "Bitácora de Auditoría", la lista muestra cientos de registros históricos de golpe sin una barra de búsqueda rápida para filtrar por usuario o acción.</t>
  </si>
  <si>
    <t>/app/admin/logs</t>
  </si>
  <si>
    <t>Incorporar una barra de búsqueda predictiva en la cabecera del historial con el marcador "Buscar por usuario o acción...".</t>
  </si>
  <si>
    <t>H2 - Sistema y mundo real</t>
  </si>
  <si>
    <t>El filtro en las pestañas financieras ("Pagos" y "Morosidad") hereda parámetros de estructura como "Ocupación", lo cual confunde al usuario ya que no pertenece al lenguaje financiero del módulo.</t>
  </si>
  <si>
    <t>Ocultar los campos de estructura en las pestañas monetarias y mostrar solo filtros contextuales (rangos de montos y períodos).</t>
  </si>
  <si>
    <t>H3 - Control y libertad</t>
  </si>
  <si>
    <t>En "Bitácora de Auditoría", el sistema renderizó los filtros lógicos por código pero olvidó dibujar los botones físicos en la pantalla, dejando al usuario atrapado sin poder cambiar de categoría.</t>
  </si>
  <si>
    <t>Dibujar e inyectar físicamente las cápsulas interactivas (chips) de selección ("Todos", "Edición", "Sistema") en el lienzo visual.</t>
  </si>
  <si>
    <t>Las tarjetas de la bitácora de auditoría para las categorías 'SISTEMA' y 'ELIMINACIÓN' no incluyen el enlace interactivo [Ver Detalle], rompiendo el estándar del formato del resto de los logs.</t>
  </si>
  <si>
    <t>Unificar el diseño de las tarjetas para que absolutamente todos los registros cuenten con el enlace interactivo de inspección de datos.</t>
  </si>
  <si>
    <t>H8 - Diseno minimalista</t>
  </si>
  <si>
    <t>Al actualizar el gráfico de ingresos mensuales, la pantalla del Dashboard borró las 4 tarjetas analíticas superiores (KPIs), dejando un espacio vacío innecesario y quitando datos clave de la vista principal.</t>
  </si>
  <si>
    <t>/app/admin/dashboard</t>
  </si>
  <si>
    <t>Reincorporar una rejilla superior compacta con las 4 tarjetas analíticas resumidas usando micro-íconos limpios de Lucide.</t>
  </si>
  <si>
    <t>En el historial de accesos de seguridad, el administrador puede ver inicios de sesión de otros dispositivos pero no cuenta con un mecanismo para abortar accesos sospechosos o salir de ellos.</t>
  </si>
  <si>
    <t>Agregar un botón funcional en color de alerta (Soft Coral) etiquetado como "Cerrar sesión en otros dispositivos".</t>
  </si>
  <si>
    <t>Al presionar los botones de "Exportar PDF" o "Excel", la aplicación procesa la descarga en segundo plano inmediatamente sin notificar al usuario si se están respetando los filtros activos de la pantalla.</t>
  </si>
  <si>
    <t>Agregar un subtexto de ayuda o un toast que indique explícitamente: "Generando documento con los filtros seleccionados actualmente...".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</si>
  <si>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</si>
  <si>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</si>
  <si>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</si>
  <si>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</si>
  <si>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</si>
  <si>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</si>
  <si>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</si>
  <si>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</si>
  <si>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</si>
  <si>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</si>
  <si>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</si>
  <si>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</si>
  <si>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</si>
  <si>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</si>
  <si>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H6 - Reconocimiento &gt; recuerdo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</si>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</sst>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8" fillId="6" fontId="14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8" fillId="4" fontId="14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40.43"/>
    <col customWidth="1" min="4" max="4" width="24.14"/>
    <col customWidth="1" min="5" max="5" width="12.0"/>
    <col customWidth="1" min="6" max="6" width="30.0"/>
    <col customWidth="1" min="7" max="7" width="16.0"/>
    <col customWidth="1" min="8" max="25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3"/>
    </row>
    <row r="2" ht="15.75" customHeight="1">
      <c r="A2" s="12" t="s">
        <v>22</v>
      </c>
      <c r="B2" s="2"/>
      <c r="C2" s="2"/>
      <c r="D2" s="2"/>
      <c r="E2" s="2"/>
      <c r="F2" s="2"/>
      <c r="G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</row>
    <row r="4">
      <c r="A4" s="14">
        <v>1.0</v>
      </c>
      <c r="B4" s="15" t="s">
        <v>30</v>
      </c>
      <c r="C4" s="15" t="s">
        <v>31</v>
      </c>
      <c r="D4" s="15" t="s">
        <v>32</v>
      </c>
      <c r="E4" s="16">
        <v>1.0</v>
      </c>
      <c r="F4" s="15" t="s">
        <v>33</v>
      </c>
      <c r="G4" s="15" t="s">
        <v>34</v>
      </c>
    </row>
    <row r="5">
      <c r="A5" s="17">
        <v>2.0</v>
      </c>
      <c r="B5" s="15" t="s">
        <v>35</v>
      </c>
      <c r="C5" s="18" t="s">
        <v>36</v>
      </c>
      <c r="D5" s="18" t="s">
        <v>37</v>
      </c>
      <c r="E5" s="19">
        <v>2.0</v>
      </c>
      <c r="F5" s="18" t="s">
        <v>38</v>
      </c>
      <c r="G5" s="18" t="s">
        <v>34</v>
      </c>
    </row>
    <row r="6">
      <c r="A6" s="14">
        <v>3.0</v>
      </c>
      <c r="B6" s="15" t="s">
        <v>39</v>
      </c>
      <c r="C6" s="15" t="s">
        <v>40</v>
      </c>
      <c r="D6" s="15" t="s">
        <v>41</v>
      </c>
      <c r="E6" s="16">
        <v>1.0</v>
      </c>
      <c r="F6" s="15" t="s">
        <v>42</v>
      </c>
      <c r="G6" s="15" t="s">
        <v>34</v>
      </c>
    </row>
    <row r="7">
      <c r="A7" s="17">
        <v>4.0</v>
      </c>
      <c r="B7" s="15" t="s">
        <v>43</v>
      </c>
      <c r="C7" s="18" t="s">
        <v>44</v>
      </c>
      <c r="D7" s="18" t="s">
        <v>45</v>
      </c>
      <c r="E7" s="19">
        <v>3.0</v>
      </c>
      <c r="F7" s="18" t="s">
        <v>46</v>
      </c>
      <c r="G7" s="18" t="s">
        <v>34</v>
      </c>
    </row>
    <row r="8">
      <c r="A8" s="14">
        <v>5.0</v>
      </c>
      <c r="B8" s="15" t="s">
        <v>47</v>
      </c>
      <c r="C8" s="15" t="s">
        <v>48</v>
      </c>
      <c r="D8" s="15" t="s">
        <v>37</v>
      </c>
      <c r="E8" s="16">
        <v>2.0</v>
      </c>
      <c r="F8" s="15" t="s">
        <v>49</v>
      </c>
      <c r="G8" s="15" t="s">
        <v>34</v>
      </c>
    </row>
    <row r="9">
      <c r="A9" s="17">
        <v>6.0</v>
      </c>
      <c r="B9" s="15" t="s">
        <v>50</v>
      </c>
      <c r="C9" s="18" t="s">
        <v>51</v>
      </c>
      <c r="D9" s="18" t="s">
        <v>45</v>
      </c>
      <c r="E9" s="19">
        <v>3.0</v>
      </c>
      <c r="F9" s="18" t="s">
        <v>52</v>
      </c>
      <c r="G9" s="18" t="s">
        <v>34</v>
      </c>
    </row>
    <row r="10">
      <c r="A10" s="14">
        <v>7.0</v>
      </c>
      <c r="B10" s="15" t="s">
        <v>39</v>
      </c>
      <c r="C10" s="15" t="s">
        <v>53</v>
      </c>
      <c r="D10" s="15" t="s">
        <v>45</v>
      </c>
      <c r="E10" s="16">
        <v>2.0</v>
      </c>
      <c r="F10" s="15" t="s">
        <v>54</v>
      </c>
      <c r="G10" s="15" t="s">
        <v>34</v>
      </c>
    </row>
    <row r="11">
      <c r="A11" s="17">
        <v>8.0</v>
      </c>
      <c r="B11" s="15" t="s">
        <v>55</v>
      </c>
      <c r="C11" s="18" t="s">
        <v>56</v>
      </c>
      <c r="D11" s="18" t="s">
        <v>57</v>
      </c>
      <c r="E11" s="19">
        <v>2.0</v>
      </c>
      <c r="F11" s="18" t="s">
        <v>58</v>
      </c>
      <c r="G11" s="18" t="s">
        <v>34</v>
      </c>
    </row>
    <row r="12">
      <c r="A12" s="14">
        <v>9.0</v>
      </c>
      <c r="B12" s="15" t="s">
        <v>50</v>
      </c>
      <c r="C12" s="15" t="s">
        <v>59</v>
      </c>
      <c r="D12" s="15" t="s">
        <v>32</v>
      </c>
      <c r="E12" s="16">
        <v>3.0</v>
      </c>
      <c r="F12" s="15" t="s">
        <v>60</v>
      </c>
      <c r="G12" s="15" t="s">
        <v>34</v>
      </c>
    </row>
    <row r="13">
      <c r="A13" s="17">
        <v>10.0</v>
      </c>
      <c r="B13" s="15" t="s">
        <v>30</v>
      </c>
      <c r="C13" s="18" t="s">
        <v>61</v>
      </c>
      <c r="D13" s="18" t="s">
        <v>37</v>
      </c>
      <c r="E13" s="19">
        <v>2.0</v>
      </c>
      <c r="F13" s="18" t="s">
        <v>62</v>
      </c>
      <c r="G13" s="18" t="s">
        <v>34</v>
      </c>
    </row>
    <row r="14" ht="42.0" customHeight="1">
      <c r="A14" s="14">
        <v>11.0</v>
      </c>
      <c r="B14" s="20"/>
      <c r="C14" s="20"/>
      <c r="D14" s="20"/>
      <c r="E14" s="21"/>
      <c r="F14" s="20"/>
      <c r="G14" s="20"/>
    </row>
    <row r="15" ht="42.0" customHeight="1">
      <c r="A15" s="17">
        <v>12.0</v>
      </c>
      <c r="B15" s="20"/>
      <c r="C15" s="22"/>
      <c r="D15" s="22"/>
      <c r="E15" s="23"/>
      <c r="F15" s="22"/>
      <c r="G15" s="22"/>
    </row>
    <row r="16" ht="42.0" customHeight="1">
      <c r="A16" s="14">
        <v>13.0</v>
      </c>
      <c r="B16" s="20"/>
      <c r="C16" s="20"/>
      <c r="D16" s="20"/>
      <c r="E16" s="21"/>
      <c r="F16" s="20"/>
      <c r="G16" s="20"/>
    </row>
    <row r="17" ht="42.0" customHeight="1">
      <c r="A17" s="17">
        <v>14.0</v>
      </c>
      <c r="B17" s="20"/>
      <c r="C17" s="22"/>
      <c r="D17" s="22"/>
      <c r="E17" s="23"/>
      <c r="F17" s="22"/>
      <c r="G17" s="22"/>
    </row>
    <row r="18" ht="42.0" customHeight="1">
      <c r="A18" s="14">
        <v>15.0</v>
      </c>
      <c r="B18" s="20"/>
      <c r="C18" s="20"/>
      <c r="D18" s="20"/>
      <c r="E18" s="21"/>
      <c r="F18" s="20"/>
      <c r="G18" s="20"/>
    </row>
    <row r="19" ht="42.0" customHeight="1">
      <c r="A19" s="17">
        <v>16.0</v>
      </c>
      <c r="B19" s="20"/>
      <c r="C19" s="22"/>
      <c r="D19" s="22"/>
      <c r="E19" s="23"/>
      <c r="F19" s="22"/>
      <c r="G19" s="22"/>
    </row>
    <row r="20" ht="42.0" customHeight="1">
      <c r="A20" s="14">
        <v>17.0</v>
      </c>
      <c r="B20" s="20"/>
      <c r="C20" s="20"/>
      <c r="D20" s="20"/>
      <c r="E20" s="21"/>
      <c r="F20" s="20"/>
      <c r="G20" s="20"/>
    </row>
    <row r="21" ht="42.0" customHeight="1">
      <c r="A21" s="17">
        <v>18.0</v>
      </c>
      <c r="B21" s="20"/>
      <c r="C21" s="22"/>
      <c r="D21" s="22"/>
      <c r="E21" s="23"/>
      <c r="F21" s="22"/>
      <c r="G21" s="22"/>
    </row>
    <row r="22" ht="42.0" customHeight="1">
      <c r="A22" s="14">
        <v>19.0</v>
      </c>
      <c r="B22" s="20"/>
      <c r="C22" s="20"/>
      <c r="D22" s="20"/>
      <c r="E22" s="21"/>
      <c r="F22" s="20"/>
      <c r="G22" s="20"/>
    </row>
    <row r="23" ht="42.0" customHeight="1">
      <c r="A23" s="17">
        <v>20.0</v>
      </c>
      <c r="B23" s="20"/>
      <c r="C23" s="22"/>
      <c r="D23" s="22"/>
      <c r="E23" s="23"/>
      <c r="F23" s="22"/>
      <c r="G23" s="22"/>
    </row>
    <row r="24" ht="42.0" customHeight="1">
      <c r="A24" s="14">
        <v>21.0</v>
      </c>
      <c r="B24" s="20"/>
      <c r="C24" s="20"/>
      <c r="D24" s="20"/>
      <c r="E24" s="21"/>
      <c r="F24" s="20"/>
      <c r="G24" s="20"/>
    </row>
    <row r="25" ht="42.0" customHeight="1">
      <c r="A25" s="17">
        <v>22.0</v>
      </c>
      <c r="B25" s="20"/>
      <c r="C25" s="22"/>
      <c r="D25" s="22"/>
      <c r="E25" s="23"/>
      <c r="F25" s="22"/>
      <c r="G25" s="22"/>
    </row>
    <row r="26" ht="42.0" customHeight="1">
      <c r="A26" s="14">
        <v>23.0</v>
      </c>
      <c r="B26" s="20"/>
      <c r="C26" s="20"/>
      <c r="D26" s="20"/>
      <c r="E26" s="21"/>
      <c r="F26" s="20"/>
      <c r="G26" s="20"/>
    </row>
    <row r="27" ht="42.0" customHeight="1">
      <c r="A27" s="17">
        <v>24.0</v>
      </c>
      <c r="B27" s="20"/>
      <c r="C27" s="22"/>
      <c r="D27" s="22"/>
      <c r="E27" s="23"/>
      <c r="F27" s="22"/>
      <c r="G27" s="22"/>
    </row>
    <row r="28" ht="42.0" customHeight="1">
      <c r="A28" s="14">
        <v>25.0</v>
      </c>
      <c r="B28" s="20"/>
      <c r="C28" s="20"/>
      <c r="D28" s="20"/>
      <c r="E28" s="21"/>
      <c r="F28" s="20"/>
      <c r="G28" s="2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  <dataValidation type="list" allowBlank="1" showInputMessage="1" showErrorMessage="1" prompt="Valor invalido - Seleccione una heuristica de la lista." sqref="B4:B28">
      <formula1>Resumen!$B$13:$B$22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9.57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63</v>
      </c>
      <c r="C1" s="2"/>
      <c r="D1" s="2"/>
      <c r="E1" s="2"/>
      <c r="F1" s="2"/>
      <c r="G1" s="3"/>
    </row>
    <row r="2" ht="15.75" customHeight="1">
      <c r="B2" s="12" t="s">
        <v>64</v>
      </c>
      <c r="C2" s="2"/>
      <c r="D2" s="2"/>
      <c r="E2" s="2"/>
      <c r="F2" s="2"/>
      <c r="G2" s="3"/>
    </row>
    <row r="3" ht="14.25" customHeight="1"/>
    <row r="4" ht="18.0" customHeight="1">
      <c r="B4" s="24" t="s">
        <v>65</v>
      </c>
      <c r="C4" s="2"/>
      <c r="D4" s="2"/>
      <c r="E4" s="2"/>
      <c r="F4" s="2"/>
      <c r="G4" s="3"/>
    </row>
    <row r="5" ht="21.75" customHeight="1">
      <c r="B5" s="25" t="s">
        <v>66</v>
      </c>
      <c r="C5" s="26">
        <f>COUNTA(Evaluacion!C4:C28)</f>
        <v>10</v>
      </c>
      <c r="D5" s="7"/>
    </row>
    <row r="6" ht="21.75" customHeight="1">
      <c r="B6" s="25" t="s">
        <v>67</v>
      </c>
      <c r="C6" s="27">
        <f>IFERROR(AVERAGE(Evaluacion!E4:E28),0)</f>
        <v>2.1</v>
      </c>
      <c r="D6" s="7"/>
    </row>
    <row r="7" ht="21.75" customHeight="1">
      <c r="B7" s="25" t="s">
        <v>68</v>
      </c>
      <c r="C7" s="26">
        <f>COUNTIF(Evaluacion!E4:E28,4)</f>
        <v>0</v>
      </c>
      <c r="D7" s="7"/>
    </row>
    <row r="8" ht="21.75" customHeight="1">
      <c r="B8" s="25" t="s">
        <v>69</v>
      </c>
      <c r="C8" s="26">
        <f>COUNTIF(Evaluacion!E4:E28,3)</f>
        <v>3</v>
      </c>
      <c r="D8" s="7"/>
    </row>
    <row r="9" ht="21.75" customHeight="1">
      <c r="B9" s="25" t="s">
        <v>70</v>
      </c>
      <c r="C9" s="26">
        <f>COUNTIFS(Evaluacion!E4:E28,"&gt;=1",Evaluacion!E4:E28,"&lt;=2")</f>
        <v>7</v>
      </c>
      <c r="D9" s="7"/>
    </row>
    <row r="10" ht="14.25" customHeight="1"/>
    <row r="11" ht="18.0" customHeight="1">
      <c r="B11" s="28" t="s">
        <v>71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72</v>
      </c>
      <c r="D12" s="13" t="s">
        <v>73</v>
      </c>
      <c r="E12" s="13" t="s">
        <v>74</v>
      </c>
      <c r="F12" s="13" t="s">
        <v>75</v>
      </c>
      <c r="G12" s="13" t="s">
        <v>76</v>
      </c>
    </row>
    <row r="13" ht="19.5" customHeight="1">
      <c r="B13" s="29" t="s">
        <v>30</v>
      </c>
      <c r="C13" s="30">
        <f>COUNTIF(Evaluacion!B4:B28,"*H1*")</f>
        <v>2</v>
      </c>
      <c r="D13" s="30">
        <f>IFERROR(_xludf.MAXIFS(Evaluacion!E4:E28,Evaluacion!B4:B28,"*H1*"),0)</f>
        <v>0</v>
      </c>
      <c r="E13" s="31">
        <f>IFERROR(AVERAGEIF(Evaluacion!B4:B28,"*H1*",Evaluacion!E4:E28),0)</f>
        <v>1.5</v>
      </c>
      <c r="F13" s="32" t="str">
        <f t="shared" ref="F13:F22" si="1">IF(C13=0,"Sin problemas",IF(D13&gt;=4,"CRITICO",IF(D13&gt;=3,"MAYOR","MENOR")))</f>
        <v>MENOR</v>
      </c>
      <c r="G13" s="32" t="str">
        <f t="shared" ref="G13:G22" si="2">IF(C13=0,"Sin problemas",IF(D13=4,"1 - Inmediata",IF(D13=3,"2 - Alta",IF(D13=2,"3 - Media","4 - Baja"))))</f>
        <v>4 - Baja</v>
      </c>
    </row>
    <row r="14" ht="19.5" customHeight="1">
      <c r="B14" s="33" t="s">
        <v>47</v>
      </c>
      <c r="C14" s="34">
        <f>COUNTIF(Evaluacion!B4:B28,"*H2*")</f>
        <v>1</v>
      </c>
      <c r="D14" s="34">
        <f>IFERROR(_xludf.MAXIFS(Evaluacion!E4:E28,Evaluacion!B4:B28,"*H2*"),0)</f>
        <v>0</v>
      </c>
      <c r="E14" s="35">
        <f>IFERROR(AVERAGEIF(Evaluacion!B4:B28,"*H2*",Evaluacion!E4:E28),0)</f>
        <v>2</v>
      </c>
      <c r="F14" s="36" t="str">
        <f t="shared" si="1"/>
        <v>MENOR</v>
      </c>
      <c r="G14" s="36" t="str">
        <f t="shared" si="2"/>
        <v>4 - Baja</v>
      </c>
    </row>
    <row r="15" ht="19.5" customHeight="1">
      <c r="B15" s="29" t="s">
        <v>50</v>
      </c>
      <c r="C15" s="30">
        <f>COUNTIF(Evaluacion!B4:B28,"*H3*")</f>
        <v>2</v>
      </c>
      <c r="D15" s="30">
        <f>IFERROR(_xludf.MAXIFS(Evaluacion!E4:E28,Evaluacion!B4:B28,"*H3*"),0)</f>
        <v>0</v>
      </c>
      <c r="E15" s="31">
        <f>IFERROR(AVERAGEIF(Evaluacion!B4:B28,"*H3*",Evaluacion!E4:E28),0)</f>
        <v>3</v>
      </c>
      <c r="F15" s="32" t="str">
        <f t="shared" si="1"/>
        <v>MENOR</v>
      </c>
      <c r="G15" s="32" t="str">
        <f t="shared" si="2"/>
        <v>4 - Baja</v>
      </c>
    </row>
    <row r="16" ht="19.5" customHeight="1">
      <c r="B16" s="33" t="s">
        <v>39</v>
      </c>
      <c r="C16" s="34">
        <f>COUNTIF(Evaluacion!B4:B28,"*H4*")</f>
        <v>2</v>
      </c>
      <c r="D16" s="34">
        <f>IFERROR(_xludf.MAXIFS(Evaluacion!E4:E28,Evaluacion!B4:B28,"*H4*"),0)</f>
        <v>0</v>
      </c>
      <c r="E16" s="35">
        <f>IFERROR(AVERAGEIF(Evaluacion!B4:B28,"*H4*",Evaluacion!E4:E28),0)</f>
        <v>1.5</v>
      </c>
      <c r="F16" s="36" t="str">
        <f t="shared" si="1"/>
        <v>MENOR</v>
      </c>
      <c r="G16" s="36" t="str">
        <f t="shared" si="2"/>
        <v>4 - Baja</v>
      </c>
    </row>
    <row r="17" ht="19.5" customHeight="1">
      <c r="B17" s="29" t="s">
        <v>35</v>
      </c>
      <c r="C17" s="30">
        <f>COUNTIF(Evaluacion!B4:B28,"*H5*")</f>
        <v>1</v>
      </c>
      <c r="D17" s="30">
        <f>IFERROR(_xludf.MAXIFS(Evaluacion!E4:E28,Evaluacion!B4:B28,"*H5*"),0)</f>
        <v>0</v>
      </c>
      <c r="E17" s="31">
        <f>IFERROR(AVERAGEIF(Evaluacion!B4:B28,"*H5*",Evaluacion!E4:E28),0)</f>
        <v>2</v>
      </c>
      <c r="F17" s="32" t="str">
        <f t="shared" si="1"/>
        <v>MENOR</v>
      </c>
      <c r="G17" s="32" t="str">
        <f t="shared" si="2"/>
        <v>4 - Baja</v>
      </c>
    </row>
    <row r="18" ht="19.5" customHeight="1">
      <c r="B18" s="33" t="s">
        <v>77</v>
      </c>
      <c r="C18" s="34">
        <f>COUNTIF(Evaluacion!B4:B28,"*H6*")</f>
        <v>0</v>
      </c>
      <c r="D18" s="34">
        <f>IFERROR(_xludf.MAXIFS(Evaluacion!E4:E28,Evaluacion!B4:B28,"*H6*"),0)</f>
        <v>0</v>
      </c>
      <c r="E18" s="35">
        <f>IFERROR(AVERAGEIF(Evaluacion!B4:B28,"*H6*",Evaluacion!E4:E28),0)</f>
        <v>0</v>
      </c>
      <c r="F18" s="36" t="str">
        <f t="shared" si="1"/>
        <v>Sin problemas</v>
      </c>
      <c r="G18" s="36" t="str">
        <f t="shared" si="2"/>
        <v>Sin problemas</v>
      </c>
    </row>
    <row r="19" ht="19.5" customHeight="1">
      <c r="B19" s="29" t="s">
        <v>43</v>
      </c>
      <c r="C19" s="30">
        <f>COUNTIF(Evaluacion!B4:B28,"*H7*")</f>
        <v>1</v>
      </c>
      <c r="D19" s="30">
        <f>IFERROR(_xludf.MAXIFS(Evaluacion!E4:E28,Evaluacion!B4:B28,"*H7*"),0)</f>
        <v>0</v>
      </c>
      <c r="E19" s="31">
        <f>IFERROR(AVERAGEIF(Evaluacion!B4:B28,"*H7*",Evaluacion!E4:E28),0)</f>
        <v>3</v>
      </c>
      <c r="F19" s="32" t="str">
        <f t="shared" si="1"/>
        <v>MENOR</v>
      </c>
      <c r="G19" s="32" t="str">
        <f t="shared" si="2"/>
        <v>4 - Baja</v>
      </c>
    </row>
    <row r="20" ht="19.5" customHeight="1">
      <c r="B20" s="33" t="s">
        <v>55</v>
      </c>
      <c r="C20" s="34">
        <f>COUNTIF(Evaluacion!B4:B28,"*H8*")</f>
        <v>1</v>
      </c>
      <c r="D20" s="34">
        <f>IFERROR(_xludf.MAXIFS(Evaluacion!E4:E28,Evaluacion!B4:B28,"*H8*"),0)</f>
        <v>0</v>
      </c>
      <c r="E20" s="35">
        <f>IFERROR(AVERAGEIF(Evaluacion!B4:B28,"*H8*",Evaluacion!E4:E28),0)</f>
        <v>2</v>
      </c>
      <c r="F20" s="36" t="str">
        <f t="shared" si="1"/>
        <v>MENOR</v>
      </c>
      <c r="G20" s="36" t="str">
        <f t="shared" si="2"/>
        <v>4 - Baja</v>
      </c>
    </row>
    <row r="21" ht="19.5" customHeight="1">
      <c r="B21" s="29" t="s">
        <v>78</v>
      </c>
      <c r="C21" s="30">
        <f>COUNTIF(Evaluacion!B4:B28,"*H9*")</f>
        <v>0</v>
      </c>
      <c r="D21" s="30">
        <f>IFERROR(_xludf.MAXIFS(Evaluacion!E4:E28,Evaluacion!B4:B28,"*H9*"),0)</f>
        <v>0</v>
      </c>
      <c r="E21" s="31">
        <f>IFERROR(AVERAGEIF(Evaluacion!B4:B28,"*H9*",Evaluacion!E4:E28),0)</f>
        <v>0</v>
      </c>
      <c r="F21" s="32" t="str">
        <f t="shared" si="1"/>
        <v>Sin problemas</v>
      </c>
      <c r="G21" s="32" t="str">
        <f t="shared" si="2"/>
        <v>Sin problemas</v>
      </c>
    </row>
    <row r="22" ht="19.5" customHeight="1">
      <c r="B22" s="33" t="s">
        <v>79</v>
      </c>
      <c r="C22" s="34">
        <f>COUNTIF(Evaluacion!B4:B28,"*H10*")</f>
        <v>0</v>
      </c>
      <c r="D22" s="34">
        <f>IFERROR(_xludf.MAXIFS(Evaluacion!E4:E28,Evaluacion!B4:B28,"*H10*"),0)</f>
        <v>0</v>
      </c>
      <c r="E22" s="35">
        <f>IFERROR(AVERAGEIF(Evaluacion!B4:B28,"*H10*",Evaluacion!E4:E28),0)</f>
        <v>0</v>
      </c>
      <c r="F22" s="36" t="str">
        <f t="shared" si="1"/>
        <v>Sin problemas</v>
      </c>
      <c r="G22" s="36" t="str">
        <f t="shared" si="2"/>
        <v>Sin problemas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80</v>
      </c>
      <c r="C1" s="2"/>
      <c r="D1" s="2"/>
      <c r="E1" s="2"/>
      <c r="F1" s="3"/>
    </row>
    <row r="2" ht="15.75" customHeight="1">
      <c r="B2" s="12" t="s">
        <v>81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82</v>
      </c>
      <c r="E3" s="13" t="s">
        <v>83</v>
      </c>
      <c r="F3" s="13" t="s">
        <v>84</v>
      </c>
    </row>
    <row r="4" ht="57.75" customHeight="1">
      <c r="B4" s="37" t="s">
        <v>85</v>
      </c>
      <c r="C4" s="38" t="s">
        <v>86</v>
      </c>
      <c r="D4" s="39" t="s">
        <v>87</v>
      </c>
      <c r="E4" s="39" t="s">
        <v>88</v>
      </c>
      <c r="F4" s="39" t="s">
        <v>89</v>
      </c>
    </row>
    <row r="5" ht="57.75" customHeight="1">
      <c r="B5" s="37" t="s">
        <v>90</v>
      </c>
      <c r="C5" s="38" t="s">
        <v>91</v>
      </c>
      <c r="D5" s="39" t="s">
        <v>92</v>
      </c>
      <c r="E5" s="39" t="s">
        <v>93</v>
      </c>
      <c r="F5" s="39" t="s">
        <v>94</v>
      </c>
    </row>
    <row r="6" ht="57.75" customHeight="1">
      <c r="B6" s="37" t="s">
        <v>95</v>
      </c>
      <c r="C6" s="38" t="s">
        <v>96</v>
      </c>
      <c r="D6" s="39" t="s">
        <v>97</v>
      </c>
      <c r="E6" s="39" t="s">
        <v>98</v>
      </c>
      <c r="F6" s="39" t="s">
        <v>99</v>
      </c>
    </row>
    <row r="7" ht="57.75" customHeight="1">
      <c r="B7" s="37" t="s">
        <v>100</v>
      </c>
      <c r="C7" s="38" t="s">
        <v>101</v>
      </c>
      <c r="D7" s="39" t="s">
        <v>102</v>
      </c>
      <c r="E7" s="39" t="s">
        <v>103</v>
      </c>
      <c r="F7" s="39" t="s">
        <v>104</v>
      </c>
    </row>
    <row r="8" ht="57.75" customHeight="1">
      <c r="B8" s="37" t="s">
        <v>105</v>
      </c>
      <c r="C8" s="38" t="s">
        <v>106</v>
      </c>
      <c r="D8" s="39" t="s">
        <v>107</v>
      </c>
      <c r="E8" s="39" t="s">
        <v>108</v>
      </c>
      <c r="F8" s="39" t="s">
        <v>109</v>
      </c>
    </row>
    <row r="9" ht="57.75" customHeight="1">
      <c r="B9" s="37" t="s">
        <v>110</v>
      </c>
      <c r="C9" s="38" t="s">
        <v>111</v>
      </c>
      <c r="D9" s="39" t="s">
        <v>112</v>
      </c>
      <c r="E9" s="39" t="s">
        <v>113</v>
      </c>
      <c r="F9" s="39" t="s">
        <v>114</v>
      </c>
    </row>
    <row r="10" ht="57.75" customHeight="1">
      <c r="B10" s="37" t="s">
        <v>115</v>
      </c>
      <c r="C10" s="38" t="s">
        <v>116</v>
      </c>
      <c r="D10" s="39" t="s">
        <v>117</v>
      </c>
      <c r="E10" s="39" t="s">
        <v>118</v>
      </c>
      <c r="F10" s="39" t="s">
        <v>119</v>
      </c>
    </row>
    <row r="11" ht="57.75" customHeight="1">
      <c r="B11" s="37" t="s">
        <v>120</v>
      </c>
      <c r="C11" s="38" t="s">
        <v>121</v>
      </c>
      <c r="D11" s="39" t="s">
        <v>122</v>
      </c>
      <c r="E11" s="39" t="s">
        <v>123</v>
      </c>
      <c r="F11" s="39" t="s">
        <v>124</v>
      </c>
    </row>
    <row r="12" ht="57.75" customHeight="1">
      <c r="B12" s="37" t="s">
        <v>125</v>
      </c>
      <c r="C12" s="38" t="s">
        <v>126</v>
      </c>
      <c r="D12" s="39" t="s">
        <v>127</v>
      </c>
      <c r="E12" s="39" t="s">
        <v>128</v>
      </c>
      <c r="F12" s="39" t="s">
        <v>129</v>
      </c>
    </row>
    <row r="13" ht="57.75" customHeight="1">
      <c r="B13" s="37" t="s">
        <v>130</v>
      </c>
      <c r="C13" s="38" t="s">
        <v>131</v>
      </c>
      <c r="D13" s="39" t="s">
        <v>132</v>
      </c>
      <c r="E13" s="39" t="s">
        <v>133</v>
      </c>
      <c r="F13" s="39" t="s">
        <v>134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